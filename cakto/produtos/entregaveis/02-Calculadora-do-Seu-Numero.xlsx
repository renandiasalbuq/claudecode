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1 · Despesas" sheetId="2" state="visible" r:id="rId2"/>
    <sheet name="2 · Seu Número" sheetId="3" state="visible" r:id="rId3"/>
    <sheet name="3 · Acompanhamento" sheetId="4" state="visible" r:id="rId4"/>
    <sheet name="4 · Simulador de praz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 meses&quot;"/>
  </numFmts>
  <fonts count="17">
    <font>
      <name val="Calibri"/>
      <family val="2"/>
      <color theme="1"/>
      <sz val="11"/>
      <scheme val="minor"/>
    </font>
    <font>
      <name val="Georgia"/>
      <b val="1"/>
      <color rgb="000E2B25"/>
      <sz val="20"/>
    </font>
    <font>
      <color rgb="005B645F"/>
      <sz val="10.5"/>
    </font>
    <font>
      <name val="Georgia"/>
      <b val="1"/>
      <color rgb="00C9A45C"/>
      <sz val="16"/>
    </font>
    <font>
      <color rgb="001B2622"/>
      <sz val="11"/>
    </font>
    <font>
      <b val="1"/>
      <color rgb="008A6A2E"/>
      <sz val="10.5"/>
    </font>
    <font>
      <color rgb="005B645F"/>
      <sz val="9.5"/>
    </font>
    <font>
      <b val="1"/>
      <color rgb="00E3C98F"/>
      <sz val="9.5"/>
    </font>
    <font>
      <color rgb="001B2622"/>
      <sz val="10.5"/>
    </font>
    <font>
      <b val="1"/>
      <color rgb="000E2B25"/>
      <sz val="11"/>
    </font>
    <font>
      <b val="1"/>
      <color rgb="000E2B25"/>
      <sz val="10.5"/>
    </font>
    <font>
      <b val="1"/>
      <color rgb="00FFFFFF"/>
      <sz val="13"/>
    </font>
    <font>
      <b val="1"/>
      <color rgb="008A6A2E"/>
      <sz val="9.5"/>
    </font>
    <font>
      <color rgb="005B645F"/>
      <sz val="10"/>
    </font>
    <font>
      <b val="1"/>
      <color rgb="00FFFFFF"/>
      <sz val="9.5"/>
    </font>
    <font>
      <b val="1"/>
      <color rgb="000E2B25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6DB"/>
        <bgColor rgb="00FFF6DB"/>
      </patternFill>
    </fill>
    <fill>
      <patternFill patternType="solid">
        <fgColor rgb="000E2B25"/>
        <bgColor rgb="000E2B25"/>
      </patternFill>
    </fill>
    <fill>
      <patternFill patternType="solid">
        <fgColor rgb="00F3EDE2"/>
        <bgColor rgb="00F3EDE2"/>
      </patternFill>
    </fill>
    <fill>
      <patternFill patternType="solid">
        <fgColor rgb="00FBF8F2"/>
        <bgColor rgb="00FBF8F2"/>
      </patternFill>
    </fill>
  </fills>
  <borders count="3">
    <border>
      <left/>
      <right/>
      <top/>
      <bottom/>
      <diagonal/>
    </border>
    <border>
      <left style="thin">
        <color rgb="00D8CFBE"/>
      </left>
      <right style="thin">
        <color rgb="00D8CFBE"/>
      </right>
      <top style="thin">
        <color rgb="00D8CFBE"/>
      </top>
      <bottom style="thin">
        <color rgb="00D8CFBE"/>
      </bottom>
    </border>
    <border>
      <left style="medium">
        <color rgb="00C9A45C"/>
      </left>
      <right style="medium">
        <color rgb="00C9A45C"/>
      </right>
      <top style="medium">
        <color rgb="00C9A45C"/>
      </top>
      <bottom style="medium">
        <color rgb="00C9A45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indent="1"/>
    </xf>
    <xf numFmtId="0" fontId="8" fillId="0" borderId="1" applyAlignment="1" pivotButton="0" quotePrefix="0" xfId="0">
      <alignment vertical="center" indent="1"/>
    </xf>
    <xf numFmtId="164" fontId="9" fillId="2" borderId="2" applyAlignment="1" applyProtection="1" pivotButton="0" quotePrefix="0" xfId="0">
      <alignment horizontal="right" vertical="center"/>
      <protection locked="0" hidden="0"/>
    </xf>
    <xf numFmtId="0" fontId="12" fillId="0" borderId="0" pivotButton="0" quotePrefix="0" xfId="0"/>
    <xf numFmtId="0" fontId="6" fillId="0" borderId="0" pivotButton="0" quotePrefix="0" xfId="0"/>
    <xf numFmtId="0" fontId="8" fillId="2" borderId="1" applyAlignment="1" applyProtection="1" pivotButton="0" quotePrefix="0" xfId="0">
      <alignment vertical="center" indent="1"/>
      <protection locked="0" hidden="0"/>
    </xf>
    <xf numFmtId="0" fontId="10" fillId="4" borderId="0" applyAlignment="1" pivotButton="0" quotePrefix="0" xfId="0">
      <alignment vertical="center" wrapText="1"/>
    </xf>
    <xf numFmtId="164" fontId="11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 wrapText="1"/>
    </xf>
    <xf numFmtId="164" fontId="9" fillId="5" borderId="1" applyAlignment="1" pivotButton="0" quotePrefix="0" xfId="0">
      <alignment horizontal="right" vertical="center"/>
    </xf>
    <xf numFmtId="1" fontId="9" fillId="2" borderId="2" applyAlignment="1" applyProtection="1" pivotButton="0" quotePrefix="0" xfId="0">
      <alignment horizontal="right" vertical="center"/>
      <protection locked="0" hidden="0"/>
    </xf>
    <xf numFmtId="0" fontId="10" fillId="0" borderId="0" applyAlignment="1" pivotButton="0" quotePrefix="0" xfId="0">
      <alignment vertical="center" wrapText="1"/>
    </xf>
    <xf numFmtId="165" fontId="9" fillId="5" borderId="1" applyAlignment="1" pivotButton="0" quotePrefix="0" xfId="0">
      <alignment horizontal="right" vertical="center"/>
    </xf>
    <xf numFmtId="0" fontId="13" fillId="0" borderId="0" pivotButton="0" quotePrefix="0" xfId="0"/>
    <xf numFmtId="0" fontId="13" fillId="0" borderId="0" applyAlignment="1" pivotButton="0" quotePrefix="0" xfId="0">
      <alignment horizontal="right"/>
    </xf>
    <xf numFmtId="0" fontId="14" fillId="3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4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b val="1"/>
        <color rgb="001E4A3D"/>
      </font>
      <fill>
        <patternFill patternType="solid">
          <fgColor rgb="00E4ECE7"/>
          <bgColor rgb="00E4ECE7"/>
        </patternFill>
      </fill>
    </dxf>
    <dxf>
      <font>
        <b val="1"/>
        <color rgb="008A3A2E"/>
      </font>
      <fill>
        <patternFill patternType="solid">
          <fgColor rgb="00F6E3DC"/>
          <bgColor rgb="00F6E3DC"/>
        </patternFill>
      </fill>
    </dxf>
    <dxf>
      <font>
        <b val="1"/>
        <color rgb="00FFFFFF"/>
      </font>
      <fill>
        <patternFill patternType="solid">
          <fgColor rgb="008A6A2E"/>
          <bgColor rgb="008A6A2E"/>
        </patternFill>
      </fill>
    </dxf>
    <dxf>
      <font>
        <color rgb="00C8C8C8"/>
      </font>
      <fill>
        <patternFill patternType="solid">
          <fgColor rgb="00FFFFFF"/>
          <bgColor rgb="00FFFFFF"/>
        </patternFill>
      </fill>
    </dxf>
    <dxf>
      <font>
        <b val="1"/>
        <color rgb="008A6A2E"/>
      </font>
      <fill>
        <patternFill patternType="solid">
          <fgColor rgb="00FFF6DB"/>
          <bgColor rgb="00FFF6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45C"/>
    <outlinePr summaryBelow="1" summaryRight="1"/>
    <pageSetUpPr fitToPage="1"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84" customWidth="1" min="3" max="3"/>
  </cols>
  <sheetData>
    <row r="1" ht="12" customHeight="1"/>
    <row r="2" ht="32" customHeight="1">
      <c r="B2" s="1" t="inlineStr">
        <is>
          <t>Calculadora do Seu Número</t>
        </is>
      </c>
    </row>
    <row r="3">
      <c r="B3" s="2" t="inlineStr">
        <is>
          <t>Descubra quanto é a sua reserva e quanto guardar por mês para chegar lá.</t>
        </is>
      </c>
    </row>
    <row r="5" ht="36" customHeight="1">
      <c r="B5" s="3" t="inlineStr">
        <is>
          <t>1</t>
        </is>
      </c>
      <c r="C5" s="4" t="inlineStr">
        <is>
          <t>Vá na aba  1 · Despesas  e preencha as células AMARELAS com o valor mensal de cada despesa essencial.</t>
        </is>
      </c>
    </row>
    <row r="6" ht="36" customHeight="1">
      <c r="B6" s="3" t="inlineStr">
        <is>
          <t>2</t>
        </is>
      </c>
      <c r="C6" s="4" t="inlineStr">
        <is>
          <t>Vá na aba  2 · Seu Número. Confira quantos meses de reserva você quer (padrão: 6), em quantos meses quer chegar lá (padrão: 18) e quanto já tem guardado.</t>
        </is>
      </c>
    </row>
    <row r="7" ht="36" customHeight="1">
      <c r="B7" s="3" t="inlineStr">
        <is>
          <t>3</t>
        </is>
      </c>
      <c r="C7" s="4" t="inlineStr">
        <is>
          <t>Pronto: a planilha mostra o seu número e quanto guardar por mês e por semana. Mude o prazo e o valor mensal muda na hora.</t>
        </is>
      </c>
    </row>
    <row r="8" ht="36" customHeight="1">
      <c r="B8" s="3" t="inlineStr">
        <is>
          <t>4</t>
        </is>
      </c>
      <c r="C8" s="4" t="inlineStr">
        <is>
          <t>Todo mês, vá na aba  3 · Acompanhamento  e anote quanto depositou. A planilha mostra quanto já juntou, quanto falta e se você está no ritmo.</t>
        </is>
      </c>
    </row>
    <row r="9" ht="36" customHeight="1">
      <c r="B9" s="3" t="inlineStr">
        <is>
          <t>5</t>
        </is>
      </c>
      <c r="C9" s="4" t="inlineStr">
        <is>
          <t>A aba  4 · Simulador de prazo  compara quanto guardar por mês em prazos de 6 a 36 meses.</t>
        </is>
      </c>
    </row>
    <row r="11" ht="30" customHeight="1">
      <c r="C11" s="5" t="inlineStr">
        <is>
          <t>Só preencha as células AMARELAS. As outras têm fórmulas e estão protegidas para você não apagar sem querer.</t>
        </is>
      </c>
    </row>
    <row r="13" ht="28" customHeight="1">
      <c r="C13" s="6" t="inlineStr">
        <is>
          <t>Funciona no Excel, no Google Planilhas (Arquivo → Importar) e no LibreOffice. No celular, use o app do Google Planilhas ou do Excel.</t>
        </is>
      </c>
    </row>
    <row r="14" ht="28" customHeight="1">
      <c r="C14" s="6" t="inlineStr">
        <is>
          <t>Conteúdo educativo. Valores sem considerar rendimento; confira as regras vigentes do lugar onde você guarda o dinheiro.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E4A3D"/>
    <outlinePr summaryBelow="1" summaryRight="1"/>
    <pageSetUpPr fitToPage="1"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3" customWidth="1" min="4" max="4"/>
    <col width="44" customWidth="1" min="5" max="5"/>
  </cols>
  <sheetData>
    <row r="1" ht="12" customHeight="1"/>
    <row r="2" ht="32" customHeight="1">
      <c r="B2" s="1" t="inlineStr">
        <is>
          <t>Suas despesas essenciais</t>
        </is>
      </c>
    </row>
    <row r="3">
      <c r="B3" s="2" t="inlineStr">
        <is>
          <t>Valores MENSAIS. Conta anual? Divida por 12. Use extratos reais dos últimos 3 meses.</t>
        </is>
      </c>
    </row>
    <row r="5" ht="20" customHeight="1">
      <c r="B5" s="7" t="inlineStr">
        <is>
          <t>DESPESA ESSENCIAL</t>
        </is>
      </c>
    </row>
    <row r="6" ht="22" customHeight="1">
      <c r="B6" s="8" t="inlineStr">
        <is>
          <t>Moradia (aluguel ou financiamento, condomínio)</t>
        </is>
      </c>
      <c r="C6" s="9" t="n"/>
      <c r="E6" s="10" t="inlineStr">
        <is>
          <t>O que entra aqui?</t>
        </is>
      </c>
    </row>
    <row r="7" ht="22" customHeight="1">
      <c r="B7" s="8" t="inlineStr">
        <is>
          <t>Contas de casa (luz, água, gás)</t>
        </is>
      </c>
      <c r="C7" s="9" t="n"/>
      <c r="E7" s="11" t="inlineStr">
        <is>
          <t>Só o que você NÃO pode deixar de pagar nem por um mês.</t>
        </is>
      </c>
    </row>
    <row r="8" ht="22" customHeight="1">
      <c r="B8" s="8" t="inlineStr">
        <is>
          <t>Internet e celular (plano básico)</t>
        </is>
      </c>
      <c r="C8" s="9" t="n"/>
      <c r="E8" s="11" t="inlineStr">
        <is>
          <t>Fica de fora: delivery, streaming, roupas, saídas,</t>
        </is>
      </c>
    </row>
    <row r="9" ht="22" customHeight="1">
      <c r="B9" s="8" t="inlineStr">
        <is>
          <t>Alimentação (mercado, sem delivery)</t>
        </is>
      </c>
      <c r="C9" s="9" t="n"/>
      <c r="E9" s="11" t="inlineStr">
        <is>
          <t>compras parceladas não essenciais.</t>
        </is>
      </c>
    </row>
    <row r="10" ht="22" customHeight="1">
      <c r="B10" s="8" t="inlineStr">
        <is>
          <t>Transporte (para trabalhar ou procurar trabalho)</t>
        </is>
      </c>
      <c r="C10" s="9" t="n"/>
      <c r="E10" s="11" t="inlineStr"/>
    </row>
    <row r="11" ht="22" customHeight="1">
      <c r="B11" s="8" t="inlineStr">
        <is>
          <t>Saúde (plano, remédios de uso contínuo)</t>
        </is>
      </c>
      <c r="C11" s="9" t="n"/>
      <c r="E11" s="11" t="inlineStr">
        <is>
          <t>Os nomes das linhas "Outro essencial" podem ser</t>
        </is>
      </c>
    </row>
    <row r="12" ht="22" customHeight="1">
      <c r="B12" s="8" t="inlineStr">
        <is>
          <t>Educação obrigatória (escola dos filhos)</t>
        </is>
      </c>
      <c r="C12" s="9" t="n"/>
      <c r="E12" s="11" t="inlineStr">
        <is>
          <t>editados: clique e escreva o que for.</t>
        </is>
      </c>
    </row>
    <row r="13" ht="22" customHeight="1">
      <c r="B13" s="8" t="inlineStr">
        <is>
          <t>Dívidas que não podem atrasar (parcelas)</t>
        </is>
      </c>
      <c r="C13" s="9" t="n"/>
    </row>
    <row r="14" ht="22" customHeight="1">
      <c r="B14" s="12" t="inlineStr">
        <is>
          <t>Outro essencial 1</t>
        </is>
      </c>
      <c r="C14" s="9" t="n"/>
    </row>
    <row r="15" ht="22" customHeight="1">
      <c r="B15" s="12" t="inlineStr">
        <is>
          <t>Outro essencial 2</t>
        </is>
      </c>
      <c r="C15" s="9" t="n"/>
    </row>
    <row r="16" ht="22" customHeight="1">
      <c r="B16" s="12" t="inlineStr">
        <is>
          <t>Outro essencial 3</t>
        </is>
      </c>
      <c r="C16" s="9" t="n"/>
    </row>
    <row r="17" ht="26" customHeight="1">
      <c r="B17" s="13" t="inlineStr">
        <is>
          <t>CUSTO ESSENCIAL MENSAL</t>
        </is>
      </c>
      <c r="C17" s="14">
        <f>SUM(C6:C16)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B5:C5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E4A3D"/>
    <outlinePr summaryBelow="1" summaryRight="1"/>
    <pageSetUpPr fitToPage="1"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3" customWidth="1" min="4" max="4"/>
    <col width="46" customWidth="1" min="5" max="5"/>
  </cols>
  <sheetData>
    <row r="1" ht="12" customHeight="1"/>
    <row r="2" ht="32" customHeight="1">
      <c r="B2" s="1" t="inlineStr">
        <is>
          <t>Seu número</t>
        </is>
      </c>
    </row>
    <row r="3">
      <c r="B3" s="2" t="inlineStr">
        <is>
          <t>Ajuste os campos amarelos. Todo o resto é calculado na hora.</t>
        </is>
      </c>
    </row>
    <row r="5" ht="20" customHeight="1">
      <c r="B5" s="7" t="inlineStr">
        <is>
          <t>SEUS DADOS</t>
        </is>
      </c>
    </row>
    <row r="6" ht="24" customHeight="1">
      <c r="B6" s="15" t="inlineStr">
        <is>
          <t>Custo essencial mensal (vem da aba 1)</t>
        </is>
      </c>
      <c r="C6" s="16">
        <f>'1 · Despesas'!C17</f>
        <v/>
      </c>
      <c r="E6" s="10" t="inlineStr">
        <is>
          <t>Como ler</t>
        </is>
      </c>
    </row>
    <row r="7" ht="24" customHeight="1">
      <c r="B7" s="15" t="inlineStr">
        <is>
          <t>Quantos meses de reserva você quer?</t>
        </is>
      </c>
      <c r="C7" s="17" t="n">
        <v>6</v>
      </c>
      <c r="E7" s="11" t="inlineStr">
        <is>
          <t>Seu número = custo essencial × meses de reserva.</t>
        </is>
      </c>
    </row>
    <row r="8" ht="24" customHeight="1">
      <c r="B8" s="15" t="inlineStr">
        <is>
          <t>Em quantos meses quer chegar lá? (prazo)</t>
        </is>
      </c>
      <c r="C8" s="17" t="n">
        <v>18</v>
      </c>
      <c r="E8" s="11" t="inlineStr">
        <is>
          <t>Guardar por mês = (seu número − o que já tem) ÷ prazo.</t>
        </is>
      </c>
    </row>
    <row r="9" ht="24" customHeight="1">
      <c r="B9" s="15" t="inlineStr">
        <is>
          <t>Quanto você já tem guardado hoje?</t>
        </is>
      </c>
      <c r="C9" s="9" t="n">
        <v>0</v>
      </c>
      <c r="E9" s="11" t="inlineStr"/>
    </row>
    <row r="10">
      <c r="E10" s="10" t="inlineStr">
        <is>
          <t>O valor mensal não cabe no seu orçamento?</t>
        </is>
      </c>
    </row>
    <row r="11" ht="20" customHeight="1">
      <c r="B11" s="7" t="inlineStr">
        <is>
          <t>RESULTADO</t>
        </is>
      </c>
      <c r="E11" s="11" t="inlineStr">
        <is>
          <t>Aumente o prazo no campo amarelo e veja o novo valor.</t>
        </is>
      </c>
    </row>
    <row r="12" ht="30" customHeight="1">
      <c r="B12" s="18" t="inlineStr">
        <is>
          <t>SEU NÚMERO (meta da reserva)</t>
        </is>
      </c>
      <c r="C12" s="14">
        <f>C6*C7</f>
        <v/>
      </c>
      <c r="E12" s="11" t="inlineStr">
        <is>
          <t>Ou compare vários prazos na aba 4 · Simulador de prazo.</t>
        </is>
      </c>
    </row>
    <row r="13" ht="26" customHeight="1">
      <c r="B13" s="18" t="inlineStr">
        <is>
          <t>Quanto ainda falta</t>
        </is>
      </c>
      <c r="C13" s="16">
        <f>MAX(C12-C9,0)</f>
        <v/>
      </c>
      <c r="E13" s="11" t="inlineStr"/>
    </row>
    <row r="14" ht="30" customHeight="1">
      <c r="B14" s="18" t="inlineStr">
        <is>
          <t>GUARDAR POR MÊS</t>
        </is>
      </c>
      <c r="C14" s="14">
        <f>IF(C8&gt;0,C13/C8,0)</f>
        <v/>
      </c>
      <c r="E14" s="11" t="inlineStr">
        <is>
          <t>Os valores não consideram rendimento: na prática,</t>
        </is>
      </c>
    </row>
    <row r="15" ht="26" customHeight="1">
      <c r="B15" s="18" t="inlineStr">
        <is>
          <t>Guardar por semana (aprox.)</t>
        </is>
      </c>
      <c r="C15" s="16">
        <f>C14*12/52</f>
        <v/>
      </c>
      <c r="E15" s="11" t="inlineStr">
        <is>
          <t>o dinheiro aplicado rende e você chega um pouco antes.</t>
        </is>
      </c>
    </row>
    <row r="16" ht="26" customHeight="1">
      <c r="B16" s="18" t="inlineStr">
        <is>
          <t>Guardar por dia (aprox.)</t>
        </is>
      </c>
      <c r="C16" s="16">
        <f>C14*12/365</f>
        <v/>
      </c>
    </row>
    <row r="17" ht="26" customHeight="1">
      <c r="B17" s="18" t="inlineStr">
        <is>
          <t>Você já tem quantos meses de reserva?</t>
        </is>
      </c>
      <c r="C17" s="19">
        <f>IF(C6&gt;0,C9/C6,0)</f>
        <v/>
      </c>
    </row>
    <row r="19" ht="20" customHeight="1">
      <c r="B19" s="7" t="inlineStr">
        <is>
          <t>SEUS DEGRAUS</t>
        </is>
      </c>
    </row>
    <row r="20" ht="24" customHeight="1">
      <c r="B20" s="15" t="inlineStr">
        <is>
          <t>Degrau 1 · R$ 1.000 ou meio mês (o menor)</t>
        </is>
      </c>
      <c r="C20" s="16">
        <f>MIN(1000,C6/2)</f>
        <v/>
      </c>
    </row>
    <row r="21" ht="24" customHeight="1">
      <c r="B21" s="15" t="inlineStr">
        <is>
          <t>Degrau 2 · 1 mês de custo essencial</t>
        </is>
      </c>
      <c r="C21" s="16">
        <f>C6*1</f>
        <v/>
      </c>
    </row>
    <row r="22" ht="24" customHeight="1">
      <c r="B22" s="15" t="inlineStr">
        <is>
          <t>Degrau 3 · 3 meses de custo essencial</t>
        </is>
      </c>
      <c r="C22" s="16">
        <f>C6*3</f>
        <v/>
      </c>
    </row>
    <row r="23" ht="24" customHeight="1">
      <c r="B23" s="15" t="inlineStr">
        <is>
          <t>Degrau 4 · reserva completa</t>
        </is>
      </c>
      <c r="C23" s="16">
        <f>C12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B11:C11"/>
    <mergeCell ref="B19:C19"/>
    <mergeCell ref="B5:C5"/>
  </mergeCells>
  <dataValidations count="3">
    <dataValidation sqref="C7" showDropDown="0" showInputMessage="0" showErrorMessage="1" allowBlank="0" error="Use um número inteiro entre 1 e 24." type="whole" operator="between">
      <formula1>1</formula1>
      <formula2>24</formula2>
    </dataValidation>
    <dataValidation sqref="C8" showDropDown="0" showInputMessage="0" showErrorMessage="1" allowBlank="0" error="Use um número inteiro de meses entre 1 e 60." type="whole" operator="between">
      <formula1>1</formula1>
      <formula2>60</formula2>
    </dataValidation>
    <dataValidation sqref="C9" showDropDown="0" showInputMessage="0" showErrorMessage="1" allowBlank="0" error="Use um valor igual ou maior que zero.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1E4A3D"/>
    <outlinePr summaryBelow="1" summaryRight="1"/>
    <pageSetUpPr fitToPage="1"/>
  </sheetPr>
  <dimension ref="B2:H6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2" customHeight="1"/>
    <row r="2" ht="32" customHeight="1">
      <c r="B2" s="1" t="inlineStr">
        <is>
          <t>Acompanhamento mês a mês</t>
        </is>
      </c>
    </row>
    <row r="3">
      <c r="B3" s="2" t="inlineStr">
        <is>
          <t>Todo mês, anote na coluna amarela quanto você depositou. Se precisou sacar, anote com sinal de menos.</t>
        </is>
      </c>
    </row>
    <row r="4">
      <c r="B4" s="20" t="inlineStr">
        <is>
          <t>Já tinha guardado:</t>
        </is>
      </c>
      <c r="D4" s="16">
        <f>'2 · Seu Número'!C9</f>
        <v/>
      </c>
      <c r="E4" s="21" t="inlineStr">
        <is>
          <t>Meta final:</t>
        </is>
      </c>
      <c r="F4" s="16">
        <f>'2 · Seu Número'!C12</f>
        <v/>
      </c>
    </row>
    <row r="6" ht="30" customHeight="1">
      <c r="B6" s="22" t="inlineStr">
        <is>
          <t>Mês</t>
        </is>
      </c>
      <c r="C6" s="22" t="inlineStr">
        <is>
          <t>Depositei no mês</t>
        </is>
      </c>
      <c r="D6" s="22" t="inlineStr">
        <is>
          <t>Total guardado</t>
        </is>
      </c>
      <c r="E6" s="22" t="inlineStr">
        <is>
          <t>Meta até aqui</t>
        </is>
      </c>
      <c r="F6" s="22" t="inlineStr">
        <is>
          <t>Diferença</t>
        </is>
      </c>
      <c r="G6" s="22" t="inlineStr">
        <is>
          <t>Quanto falta</t>
        </is>
      </c>
      <c r="H6" s="22" t="inlineStr">
        <is>
          <t>Situação</t>
        </is>
      </c>
    </row>
    <row r="7">
      <c r="B7" s="23" t="n">
        <v>1</v>
      </c>
      <c r="C7" s="9" t="n"/>
      <c r="D7" s="16">
        <f>IF(1&lt;='2 · Seu Número'!$C$8,$D$4+SUM($C$7:C7),"")</f>
        <v/>
      </c>
      <c r="E7" s="16">
        <f>IF(1&lt;='2 · Seu Número'!$C$8,$D$4+'2 · Seu Número'!$C$14*B7,"")</f>
        <v/>
      </c>
      <c r="F7" s="16">
        <f>IF(1&lt;='2 · Seu Número'!$C$8,D7-E7,"")</f>
        <v/>
      </c>
      <c r="G7" s="16">
        <f>IF(1&lt;='2 · Seu Número'!$C$8,MAX($F$4-D7,0),"")</f>
        <v/>
      </c>
      <c r="H7" s="24">
        <f>IF(1&lt;='2 · Seu Número'!$C$8,IF(C7="","",IF(D7&gt;=$F$4,"Reserva completa!",IF(F7&gt;=0,"No ritmo","Abaixo da meta"))),"")</f>
        <v/>
      </c>
    </row>
    <row r="8">
      <c r="B8" s="23" t="n">
        <v>2</v>
      </c>
      <c r="C8" s="9" t="n"/>
      <c r="D8" s="16">
        <f>IF(2&lt;='2 · Seu Número'!$C$8,$D$4+SUM($C$7:C8),"")</f>
        <v/>
      </c>
      <c r="E8" s="16">
        <f>IF(2&lt;='2 · Seu Número'!$C$8,$D$4+'2 · Seu Número'!$C$14*B8,"")</f>
        <v/>
      </c>
      <c r="F8" s="16">
        <f>IF(2&lt;='2 · Seu Número'!$C$8,D8-E8,"")</f>
        <v/>
      </c>
      <c r="G8" s="16">
        <f>IF(2&lt;='2 · Seu Número'!$C$8,MAX($F$4-D8,0),"")</f>
        <v/>
      </c>
      <c r="H8" s="24">
        <f>IF(2&lt;='2 · Seu Número'!$C$8,IF(C8="","",IF(D8&gt;=$F$4,"Reserva completa!",IF(F8&gt;=0,"No ritmo","Abaixo da meta"))),"")</f>
        <v/>
      </c>
    </row>
    <row r="9">
      <c r="B9" s="23" t="n">
        <v>3</v>
      </c>
      <c r="C9" s="9" t="n"/>
      <c r="D9" s="16">
        <f>IF(3&lt;='2 · Seu Número'!$C$8,$D$4+SUM($C$7:C9),"")</f>
        <v/>
      </c>
      <c r="E9" s="16">
        <f>IF(3&lt;='2 · Seu Número'!$C$8,$D$4+'2 · Seu Número'!$C$14*B9,"")</f>
        <v/>
      </c>
      <c r="F9" s="16">
        <f>IF(3&lt;='2 · Seu Número'!$C$8,D9-E9,"")</f>
        <v/>
      </c>
      <c r="G9" s="16">
        <f>IF(3&lt;='2 · Seu Número'!$C$8,MAX($F$4-D9,0),"")</f>
        <v/>
      </c>
      <c r="H9" s="24">
        <f>IF(3&lt;='2 · Seu Número'!$C$8,IF(C9="","",IF(D9&gt;=$F$4,"Reserva completa!",IF(F9&gt;=0,"No ritmo","Abaixo da meta"))),"")</f>
        <v/>
      </c>
    </row>
    <row r="10">
      <c r="B10" s="23" t="n">
        <v>4</v>
      </c>
      <c r="C10" s="9" t="n"/>
      <c r="D10" s="16">
        <f>IF(4&lt;='2 · Seu Número'!$C$8,$D$4+SUM($C$7:C10),"")</f>
        <v/>
      </c>
      <c r="E10" s="16">
        <f>IF(4&lt;='2 · Seu Número'!$C$8,$D$4+'2 · Seu Número'!$C$14*B10,"")</f>
        <v/>
      </c>
      <c r="F10" s="16">
        <f>IF(4&lt;='2 · Seu Número'!$C$8,D10-E10,"")</f>
        <v/>
      </c>
      <c r="G10" s="16">
        <f>IF(4&lt;='2 · Seu Número'!$C$8,MAX($F$4-D10,0),"")</f>
        <v/>
      </c>
      <c r="H10" s="24">
        <f>IF(4&lt;='2 · Seu Número'!$C$8,IF(C10="","",IF(D10&gt;=$F$4,"Reserva completa!",IF(F10&gt;=0,"No ritmo","Abaixo da meta"))),"")</f>
        <v/>
      </c>
    </row>
    <row r="11">
      <c r="B11" s="23" t="n">
        <v>5</v>
      </c>
      <c r="C11" s="9" t="n"/>
      <c r="D11" s="16">
        <f>IF(5&lt;='2 · Seu Número'!$C$8,$D$4+SUM($C$7:C11),"")</f>
        <v/>
      </c>
      <c r="E11" s="16">
        <f>IF(5&lt;='2 · Seu Número'!$C$8,$D$4+'2 · Seu Número'!$C$14*B11,"")</f>
        <v/>
      </c>
      <c r="F11" s="16">
        <f>IF(5&lt;='2 · Seu Número'!$C$8,D11-E11,"")</f>
        <v/>
      </c>
      <c r="G11" s="16">
        <f>IF(5&lt;='2 · Seu Número'!$C$8,MAX($F$4-D11,0),"")</f>
        <v/>
      </c>
      <c r="H11" s="24">
        <f>IF(5&lt;='2 · Seu Número'!$C$8,IF(C11="","",IF(D11&gt;=$F$4,"Reserva completa!",IF(F11&gt;=0,"No ritmo","Abaixo da meta"))),"")</f>
        <v/>
      </c>
    </row>
    <row r="12">
      <c r="B12" s="23" t="n">
        <v>6</v>
      </c>
      <c r="C12" s="9" t="n"/>
      <c r="D12" s="16">
        <f>IF(6&lt;='2 · Seu Número'!$C$8,$D$4+SUM($C$7:C12),"")</f>
        <v/>
      </c>
      <c r="E12" s="16">
        <f>IF(6&lt;='2 · Seu Número'!$C$8,$D$4+'2 · Seu Número'!$C$14*B12,"")</f>
        <v/>
      </c>
      <c r="F12" s="16">
        <f>IF(6&lt;='2 · Seu Número'!$C$8,D12-E12,"")</f>
        <v/>
      </c>
      <c r="G12" s="16">
        <f>IF(6&lt;='2 · Seu Número'!$C$8,MAX($F$4-D12,0),"")</f>
        <v/>
      </c>
      <c r="H12" s="24">
        <f>IF(6&lt;='2 · Seu Número'!$C$8,IF(C12="","",IF(D12&gt;=$F$4,"Reserva completa!",IF(F12&gt;=0,"No ritmo","Abaixo da meta"))),"")</f>
        <v/>
      </c>
    </row>
    <row r="13">
      <c r="B13" s="23" t="n">
        <v>7</v>
      </c>
      <c r="C13" s="9" t="n"/>
      <c r="D13" s="16">
        <f>IF(7&lt;='2 · Seu Número'!$C$8,$D$4+SUM($C$7:C13),"")</f>
        <v/>
      </c>
      <c r="E13" s="16">
        <f>IF(7&lt;='2 · Seu Número'!$C$8,$D$4+'2 · Seu Número'!$C$14*B13,"")</f>
        <v/>
      </c>
      <c r="F13" s="16">
        <f>IF(7&lt;='2 · Seu Número'!$C$8,D13-E13,"")</f>
        <v/>
      </c>
      <c r="G13" s="16">
        <f>IF(7&lt;='2 · Seu Número'!$C$8,MAX($F$4-D13,0),"")</f>
        <v/>
      </c>
      <c r="H13" s="24">
        <f>IF(7&lt;='2 · Seu Número'!$C$8,IF(C13="","",IF(D13&gt;=$F$4,"Reserva completa!",IF(F13&gt;=0,"No ritmo","Abaixo da meta"))),"")</f>
        <v/>
      </c>
    </row>
    <row r="14">
      <c r="B14" s="23" t="n">
        <v>8</v>
      </c>
      <c r="C14" s="9" t="n"/>
      <c r="D14" s="16">
        <f>IF(8&lt;='2 · Seu Número'!$C$8,$D$4+SUM($C$7:C14),"")</f>
        <v/>
      </c>
      <c r="E14" s="16">
        <f>IF(8&lt;='2 · Seu Número'!$C$8,$D$4+'2 · Seu Número'!$C$14*B14,"")</f>
        <v/>
      </c>
      <c r="F14" s="16">
        <f>IF(8&lt;='2 · Seu Número'!$C$8,D14-E14,"")</f>
        <v/>
      </c>
      <c r="G14" s="16">
        <f>IF(8&lt;='2 · Seu Número'!$C$8,MAX($F$4-D14,0),"")</f>
        <v/>
      </c>
      <c r="H14" s="24">
        <f>IF(8&lt;='2 · Seu Número'!$C$8,IF(C14="","",IF(D14&gt;=$F$4,"Reserva completa!",IF(F14&gt;=0,"No ritmo","Abaixo da meta"))),"")</f>
        <v/>
      </c>
    </row>
    <row r="15">
      <c r="B15" s="23" t="n">
        <v>9</v>
      </c>
      <c r="C15" s="9" t="n"/>
      <c r="D15" s="16">
        <f>IF(9&lt;='2 · Seu Número'!$C$8,$D$4+SUM($C$7:C15),"")</f>
        <v/>
      </c>
      <c r="E15" s="16">
        <f>IF(9&lt;='2 · Seu Número'!$C$8,$D$4+'2 · Seu Número'!$C$14*B15,"")</f>
        <v/>
      </c>
      <c r="F15" s="16">
        <f>IF(9&lt;='2 · Seu Número'!$C$8,D15-E15,"")</f>
        <v/>
      </c>
      <c r="G15" s="16">
        <f>IF(9&lt;='2 · Seu Número'!$C$8,MAX($F$4-D15,0),"")</f>
        <v/>
      </c>
      <c r="H15" s="24">
        <f>IF(9&lt;='2 · Seu Número'!$C$8,IF(C15="","",IF(D15&gt;=$F$4,"Reserva completa!",IF(F15&gt;=0,"No ritmo","Abaixo da meta"))),"")</f>
        <v/>
      </c>
    </row>
    <row r="16">
      <c r="B16" s="23" t="n">
        <v>10</v>
      </c>
      <c r="C16" s="9" t="n"/>
      <c r="D16" s="16">
        <f>IF(10&lt;='2 · Seu Número'!$C$8,$D$4+SUM($C$7:C16),"")</f>
        <v/>
      </c>
      <c r="E16" s="16">
        <f>IF(10&lt;='2 · Seu Número'!$C$8,$D$4+'2 · Seu Número'!$C$14*B16,"")</f>
        <v/>
      </c>
      <c r="F16" s="16">
        <f>IF(10&lt;='2 · Seu Número'!$C$8,D16-E16,"")</f>
        <v/>
      </c>
      <c r="G16" s="16">
        <f>IF(10&lt;='2 · Seu Número'!$C$8,MAX($F$4-D16,0),"")</f>
        <v/>
      </c>
      <c r="H16" s="24">
        <f>IF(10&lt;='2 · Seu Número'!$C$8,IF(C16="","",IF(D16&gt;=$F$4,"Reserva completa!",IF(F16&gt;=0,"No ritmo","Abaixo da meta"))),"")</f>
        <v/>
      </c>
    </row>
    <row r="17">
      <c r="B17" s="23" t="n">
        <v>11</v>
      </c>
      <c r="C17" s="9" t="n"/>
      <c r="D17" s="16">
        <f>IF(11&lt;='2 · Seu Número'!$C$8,$D$4+SUM($C$7:C17),"")</f>
        <v/>
      </c>
      <c r="E17" s="16">
        <f>IF(11&lt;='2 · Seu Número'!$C$8,$D$4+'2 · Seu Número'!$C$14*B17,"")</f>
        <v/>
      </c>
      <c r="F17" s="16">
        <f>IF(11&lt;='2 · Seu Número'!$C$8,D17-E17,"")</f>
        <v/>
      </c>
      <c r="G17" s="16">
        <f>IF(11&lt;='2 · Seu Número'!$C$8,MAX($F$4-D17,0),"")</f>
        <v/>
      </c>
      <c r="H17" s="24">
        <f>IF(11&lt;='2 · Seu Número'!$C$8,IF(C17="","",IF(D17&gt;=$F$4,"Reserva completa!",IF(F17&gt;=0,"No ritmo","Abaixo da meta"))),"")</f>
        <v/>
      </c>
    </row>
    <row r="18">
      <c r="B18" s="23" t="n">
        <v>12</v>
      </c>
      <c r="C18" s="9" t="n"/>
      <c r="D18" s="16">
        <f>IF(12&lt;='2 · Seu Número'!$C$8,$D$4+SUM($C$7:C18),"")</f>
        <v/>
      </c>
      <c r="E18" s="16">
        <f>IF(12&lt;='2 · Seu Número'!$C$8,$D$4+'2 · Seu Número'!$C$14*B18,"")</f>
        <v/>
      </c>
      <c r="F18" s="16">
        <f>IF(12&lt;='2 · Seu Número'!$C$8,D18-E18,"")</f>
        <v/>
      </c>
      <c r="G18" s="16">
        <f>IF(12&lt;='2 · Seu Número'!$C$8,MAX($F$4-D18,0),"")</f>
        <v/>
      </c>
      <c r="H18" s="24">
        <f>IF(12&lt;='2 · Seu Número'!$C$8,IF(C18="","",IF(D18&gt;=$F$4,"Reserva completa!",IF(F18&gt;=0,"No ritmo","Abaixo da meta"))),"")</f>
        <v/>
      </c>
    </row>
    <row r="19">
      <c r="B19" s="23" t="n">
        <v>13</v>
      </c>
      <c r="C19" s="9" t="n"/>
      <c r="D19" s="16">
        <f>IF(13&lt;='2 · Seu Número'!$C$8,$D$4+SUM($C$7:C19),"")</f>
        <v/>
      </c>
      <c r="E19" s="16">
        <f>IF(13&lt;='2 · Seu Número'!$C$8,$D$4+'2 · Seu Número'!$C$14*B19,"")</f>
        <v/>
      </c>
      <c r="F19" s="16">
        <f>IF(13&lt;='2 · Seu Número'!$C$8,D19-E19,"")</f>
        <v/>
      </c>
      <c r="G19" s="16">
        <f>IF(13&lt;='2 · Seu Número'!$C$8,MAX($F$4-D19,0),"")</f>
        <v/>
      </c>
      <c r="H19" s="24">
        <f>IF(13&lt;='2 · Seu Número'!$C$8,IF(C19="","",IF(D19&gt;=$F$4,"Reserva completa!",IF(F19&gt;=0,"No ritmo","Abaixo da meta"))),"")</f>
        <v/>
      </c>
    </row>
    <row r="20">
      <c r="B20" s="23" t="n">
        <v>14</v>
      </c>
      <c r="C20" s="9" t="n"/>
      <c r="D20" s="16">
        <f>IF(14&lt;='2 · Seu Número'!$C$8,$D$4+SUM($C$7:C20),"")</f>
        <v/>
      </c>
      <c r="E20" s="16">
        <f>IF(14&lt;='2 · Seu Número'!$C$8,$D$4+'2 · Seu Número'!$C$14*B20,"")</f>
        <v/>
      </c>
      <c r="F20" s="16">
        <f>IF(14&lt;='2 · Seu Número'!$C$8,D20-E20,"")</f>
        <v/>
      </c>
      <c r="G20" s="16">
        <f>IF(14&lt;='2 · Seu Número'!$C$8,MAX($F$4-D20,0),"")</f>
        <v/>
      </c>
      <c r="H20" s="24">
        <f>IF(14&lt;='2 · Seu Número'!$C$8,IF(C20="","",IF(D20&gt;=$F$4,"Reserva completa!",IF(F20&gt;=0,"No ritmo","Abaixo da meta"))),"")</f>
        <v/>
      </c>
    </row>
    <row r="21">
      <c r="B21" s="23" t="n">
        <v>15</v>
      </c>
      <c r="C21" s="9" t="n"/>
      <c r="D21" s="16">
        <f>IF(15&lt;='2 · Seu Número'!$C$8,$D$4+SUM($C$7:C21),"")</f>
        <v/>
      </c>
      <c r="E21" s="16">
        <f>IF(15&lt;='2 · Seu Número'!$C$8,$D$4+'2 · Seu Número'!$C$14*B21,"")</f>
        <v/>
      </c>
      <c r="F21" s="16">
        <f>IF(15&lt;='2 · Seu Número'!$C$8,D21-E21,"")</f>
        <v/>
      </c>
      <c r="G21" s="16">
        <f>IF(15&lt;='2 · Seu Número'!$C$8,MAX($F$4-D21,0),"")</f>
        <v/>
      </c>
      <c r="H21" s="24">
        <f>IF(15&lt;='2 · Seu Número'!$C$8,IF(C21="","",IF(D21&gt;=$F$4,"Reserva completa!",IF(F21&gt;=0,"No ritmo","Abaixo da meta"))),"")</f>
        <v/>
      </c>
    </row>
    <row r="22">
      <c r="B22" s="23" t="n">
        <v>16</v>
      </c>
      <c r="C22" s="9" t="n"/>
      <c r="D22" s="16">
        <f>IF(16&lt;='2 · Seu Número'!$C$8,$D$4+SUM($C$7:C22),"")</f>
        <v/>
      </c>
      <c r="E22" s="16">
        <f>IF(16&lt;='2 · Seu Número'!$C$8,$D$4+'2 · Seu Número'!$C$14*B22,"")</f>
        <v/>
      </c>
      <c r="F22" s="16">
        <f>IF(16&lt;='2 · Seu Número'!$C$8,D22-E22,"")</f>
        <v/>
      </c>
      <c r="G22" s="16">
        <f>IF(16&lt;='2 · Seu Número'!$C$8,MAX($F$4-D22,0),"")</f>
        <v/>
      </c>
      <c r="H22" s="24">
        <f>IF(16&lt;='2 · Seu Número'!$C$8,IF(C22="","",IF(D22&gt;=$F$4,"Reserva completa!",IF(F22&gt;=0,"No ritmo","Abaixo da meta"))),"")</f>
        <v/>
      </c>
    </row>
    <row r="23">
      <c r="B23" s="23" t="n">
        <v>17</v>
      </c>
      <c r="C23" s="9" t="n"/>
      <c r="D23" s="16">
        <f>IF(17&lt;='2 · Seu Número'!$C$8,$D$4+SUM($C$7:C23),"")</f>
        <v/>
      </c>
      <c r="E23" s="16">
        <f>IF(17&lt;='2 · Seu Número'!$C$8,$D$4+'2 · Seu Número'!$C$14*B23,"")</f>
        <v/>
      </c>
      <c r="F23" s="16">
        <f>IF(17&lt;='2 · Seu Número'!$C$8,D23-E23,"")</f>
        <v/>
      </c>
      <c r="G23" s="16">
        <f>IF(17&lt;='2 · Seu Número'!$C$8,MAX($F$4-D23,0),"")</f>
        <v/>
      </c>
      <c r="H23" s="24">
        <f>IF(17&lt;='2 · Seu Número'!$C$8,IF(C23="","",IF(D23&gt;=$F$4,"Reserva completa!",IF(F23&gt;=0,"No ritmo","Abaixo da meta"))),"")</f>
        <v/>
      </c>
    </row>
    <row r="24">
      <c r="B24" s="23" t="n">
        <v>18</v>
      </c>
      <c r="C24" s="9" t="n"/>
      <c r="D24" s="16">
        <f>IF(18&lt;='2 · Seu Número'!$C$8,$D$4+SUM($C$7:C24),"")</f>
        <v/>
      </c>
      <c r="E24" s="16">
        <f>IF(18&lt;='2 · Seu Número'!$C$8,$D$4+'2 · Seu Número'!$C$14*B24,"")</f>
        <v/>
      </c>
      <c r="F24" s="16">
        <f>IF(18&lt;='2 · Seu Número'!$C$8,D24-E24,"")</f>
        <v/>
      </c>
      <c r="G24" s="16">
        <f>IF(18&lt;='2 · Seu Número'!$C$8,MAX($F$4-D24,0),"")</f>
        <v/>
      </c>
      <c r="H24" s="24">
        <f>IF(18&lt;='2 · Seu Número'!$C$8,IF(C24="","",IF(D24&gt;=$F$4,"Reserva completa!",IF(F24&gt;=0,"No ritmo","Abaixo da meta"))),"")</f>
        <v/>
      </c>
    </row>
    <row r="25">
      <c r="B25" s="23" t="n">
        <v>19</v>
      </c>
      <c r="C25" s="9" t="n"/>
      <c r="D25" s="16">
        <f>IF(19&lt;='2 · Seu Número'!$C$8,$D$4+SUM($C$7:C25),"")</f>
        <v/>
      </c>
      <c r="E25" s="16">
        <f>IF(19&lt;='2 · Seu Número'!$C$8,$D$4+'2 · Seu Número'!$C$14*B25,"")</f>
        <v/>
      </c>
      <c r="F25" s="16">
        <f>IF(19&lt;='2 · Seu Número'!$C$8,D25-E25,"")</f>
        <v/>
      </c>
      <c r="G25" s="16">
        <f>IF(19&lt;='2 · Seu Número'!$C$8,MAX($F$4-D25,0),"")</f>
        <v/>
      </c>
      <c r="H25" s="24">
        <f>IF(19&lt;='2 · Seu Número'!$C$8,IF(C25="","",IF(D25&gt;=$F$4,"Reserva completa!",IF(F25&gt;=0,"No ritmo","Abaixo da meta"))),"")</f>
        <v/>
      </c>
    </row>
    <row r="26">
      <c r="B26" s="23" t="n">
        <v>20</v>
      </c>
      <c r="C26" s="9" t="n"/>
      <c r="D26" s="16">
        <f>IF(20&lt;='2 · Seu Número'!$C$8,$D$4+SUM($C$7:C26),"")</f>
        <v/>
      </c>
      <c r="E26" s="16">
        <f>IF(20&lt;='2 · Seu Número'!$C$8,$D$4+'2 · Seu Número'!$C$14*B26,"")</f>
        <v/>
      </c>
      <c r="F26" s="16">
        <f>IF(20&lt;='2 · Seu Número'!$C$8,D26-E26,"")</f>
        <v/>
      </c>
      <c r="G26" s="16">
        <f>IF(20&lt;='2 · Seu Número'!$C$8,MAX($F$4-D26,0),"")</f>
        <v/>
      </c>
      <c r="H26" s="24">
        <f>IF(20&lt;='2 · Seu Número'!$C$8,IF(C26="","",IF(D26&gt;=$F$4,"Reserva completa!",IF(F26&gt;=0,"No ritmo","Abaixo da meta"))),"")</f>
        <v/>
      </c>
    </row>
    <row r="27">
      <c r="B27" s="23" t="n">
        <v>21</v>
      </c>
      <c r="C27" s="9" t="n"/>
      <c r="D27" s="16">
        <f>IF(21&lt;='2 · Seu Número'!$C$8,$D$4+SUM($C$7:C27),"")</f>
        <v/>
      </c>
      <c r="E27" s="16">
        <f>IF(21&lt;='2 · Seu Número'!$C$8,$D$4+'2 · Seu Número'!$C$14*B27,"")</f>
        <v/>
      </c>
      <c r="F27" s="16">
        <f>IF(21&lt;='2 · Seu Número'!$C$8,D27-E27,"")</f>
        <v/>
      </c>
      <c r="G27" s="16">
        <f>IF(21&lt;='2 · Seu Número'!$C$8,MAX($F$4-D27,0),"")</f>
        <v/>
      </c>
      <c r="H27" s="24">
        <f>IF(21&lt;='2 · Seu Número'!$C$8,IF(C27="","",IF(D27&gt;=$F$4,"Reserva completa!",IF(F27&gt;=0,"No ritmo","Abaixo da meta"))),"")</f>
        <v/>
      </c>
    </row>
    <row r="28">
      <c r="B28" s="23" t="n">
        <v>22</v>
      </c>
      <c r="C28" s="9" t="n"/>
      <c r="D28" s="16">
        <f>IF(22&lt;='2 · Seu Número'!$C$8,$D$4+SUM($C$7:C28),"")</f>
        <v/>
      </c>
      <c r="E28" s="16">
        <f>IF(22&lt;='2 · Seu Número'!$C$8,$D$4+'2 · Seu Número'!$C$14*B28,"")</f>
        <v/>
      </c>
      <c r="F28" s="16">
        <f>IF(22&lt;='2 · Seu Número'!$C$8,D28-E28,"")</f>
        <v/>
      </c>
      <c r="G28" s="16">
        <f>IF(22&lt;='2 · Seu Número'!$C$8,MAX($F$4-D28,0),"")</f>
        <v/>
      </c>
      <c r="H28" s="24">
        <f>IF(22&lt;='2 · Seu Número'!$C$8,IF(C28="","",IF(D28&gt;=$F$4,"Reserva completa!",IF(F28&gt;=0,"No ritmo","Abaixo da meta"))),"")</f>
        <v/>
      </c>
    </row>
    <row r="29">
      <c r="B29" s="23" t="n">
        <v>23</v>
      </c>
      <c r="C29" s="9" t="n"/>
      <c r="D29" s="16">
        <f>IF(23&lt;='2 · Seu Número'!$C$8,$D$4+SUM($C$7:C29),"")</f>
        <v/>
      </c>
      <c r="E29" s="16">
        <f>IF(23&lt;='2 · Seu Número'!$C$8,$D$4+'2 · Seu Número'!$C$14*B29,"")</f>
        <v/>
      </c>
      <c r="F29" s="16">
        <f>IF(23&lt;='2 · Seu Número'!$C$8,D29-E29,"")</f>
        <v/>
      </c>
      <c r="G29" s="16">
        <f>IF(23&lt;='2 · Seu Número'!$C$8,MAX($F$4-D29,0),"")</f>
        <v/>
      </c>
      <c r="H29" s="24">
        <f>IF(23&lt;='2 · Seu Número'!$C$8,IF(C29="","",IF(D29&gt;=$F$4,"Reserva completa!",IF(F29&gt;=0,"No ritmo","Abaixo da meta"))),"")</f>
        <v/>
      </c>
    </row>
    <row r="30">
      <c r="B30" s="23" t="n">
        <v>24</v>
      </c>
      <c r="C30" s="9" t="n"/>
      <c r="D30" s="16">
        <f>IF(24&lt;='2 · Seu Número'!$C$8,$D$4+SUM($C$7:C30),"")</f>
        <v/>
      </c>
      <c r="E30" s="16">
        <f>IF(24&lt;='2 · Seu Número'!$C$8,$D$4+'2 · Seu Número'!$C$14*B30,"")</f>
        <v/>
      </c>
      <c r="F30" s="16">
        <f>IF(24&lt;='2 · Seu Número'!$C$8,D30-E30,"")</f>
        <v/>
      </c>
      <c r="G30" s="16">
        <f>IF(24&lt;='2 · Seu Número'!$C$8,MAX($F$4-D30,0),"")</f>
        <v/>
      </c>
      <c r="H30" s="24">
        <f>IF(24&lt;='2 · Seu Número'!$C$8,IF(C30="","",IF(D30&gt;=$F$4,"Reserva completa!",IF(F30&gt;=0,"No ritmo","Abaixo da meta"))),"")</f>
        <v/>
      </c>
    </row>
    <row r="31">
      <c r="B31" s="23" t="n">
        <v>25</v>
      </c>
      <c r="C31" s="9" t="n"/>
      <c r="D31" s="16">
        <f>IF(25&lt;='2 · Seu Número'!$C$8,$D$4+SUM($C$7:C31),"")</f>
        <v/>
      </c>
      <c r="E31" s="16">
        <f>IF(25&lt;='2 · Seu Número'!$C$8,$D$4+'2 · Seu Número'!$C$14*B31,"")</f>
        <v/>
      </c>
      <c r="F31" s="16">
        <f>IF(25&lt;='2 · Seu Número'!$C$8,D31-E31,"")</f>
        <v/>
      </c>
      <c r="G31" s="16">
        <f>IF(25&lt;='2 · Seu Número'!$C$8,MAX($F$4-D31,0),"")</f>
        <v/>
      </c>
      <c r="H31" s="24">
        <f>IF(25&lt;='2 · Seu Número'!$C$8,IF(C31="","",IF(D31&gt;=$F$4,"Reserva completa!",IF(F31&gt;=0,"No ritmo","Abaixo da meta"))),"")</f>
        <v/>
      </c>
    </row>
    <row r="32">
      <c r="B32" s="23" t="n">
        <v>26</v>
      </c>
      <c r="C32" s="9" t="n"/>
      <c r="D32" s="16">
        <f>IF(26&lt;='2 · Seu Número'!$C$8,$D$4+SUM($C$7:C32),"")</f>
        <v/>
      </c>
      <c r="E32" s="16">
        <f>IF(26&lt;='2 · Seu Número'!$C$8,$D$4+'2 · Seu Número'!$C$14*B32,"")</f>
        <v/>
      </c>
      <c r="F32" s="16">
        <f>IF(26&lt;='2 · Seu Número'!$C$8,D32-E32,"")</f>
        <v/>
      </c>
      <c r="G32" s="16">
        <f>IF(26&lt;='2 · Seu Número'!$C$8,MAX($F$4-D32,0),"")</f>
        <v/>
      </c>
      <c r="H32" s="24">
        <f>IF(26&lt;='2 · Seu Número'!$C$8,IF(C32="","",IF(D32&gt;=$F$4,"Reserva completa!",IF(F32&gt;=0,"No ritmo","Abaixo da meta"))),"")</f>
        <v/>
      </c>
    </row>
    <row r="33">
      <c r="B33" s="23" t="n">
        <v>27</v>
      </c>
      <c r="C33" s="9" t="n"/>
      <c r="D33" s="16">
        <f>IF(27&lt;='2 · Seu Número'!$C$8,$D$4+SUM($C$7:C33),"")</f>
        <v/>
      </c>
      <c r="E33" s="16">
        <f>IF(27&lt;='2 · Seu Número'!$C$8,$D$4+'2 · Seu Número'!$C$14*B33,"")</f>
        <v/>
      </c>
      <c r="F33" s="16">
        <f>IF(27&lt;='2 · Seu Número'!$C$8,D33-E33,"")</f>
        <v/>
      </c>
      <c r="G33" s="16">
        <f>IF(27&lt;='2 · Seu Número'!$C$8,MAX($F$4-D33,0),"")</f>
        <v/>
      </c>
      <c r="H33" s="24">
        <f>IF(27&lt;='2 · Seu Número'!$C$8,IF(C33="","",IF(D33&gt;=$F$4,"Reserva completa!",IF(F33&gt;=0,"No ritmo","Abaixo da meta"))),"")</f>
        <v/>
      </c>
    </row>
    <row r="34">
      <c r="B34" s="23" t="n">
        <v>28</v>
      </c>
      <c r="C34" s="9" t="n"/>
      <c r="D34" s="16">
        <f>IF(28&lt;='2 · Seu Número'!$C$8,$D$4+SUM($C$7:C34),"")</f>
        <v/>
      </c>
      <c r="E34" s="16">
        <f>IF(28&lt;='2 · Seu Número'!$C$8,$D$4+'2 · Seu Número'!$C$14*B34,"")</f>
        <v/>
      </c>
      <c r="F34" s="16">
        <f>IF(28&lt;='2 · Seu Número'!$C$8,D34-E34,"")</f>
        <v/>
      </c>
      <c r="G34" s="16">
        <f>IF(28&lt;='2 · Seu Número'!$C$8,MAX($F$4-D34,0),"")</f>
        <v/>
      </c>
      <c r="H34" s="24">
        <f>IF(28&lt;='2 · Seu Número'!$C$8,IF(C34="","",IF(D34&gt;=$F$4,"Reserva completa!",IF(F34&gt;=0,"No ritmo","Abaixo da meta"))),"")</f>
        <v/>
      </c>
    </row>
    <row r="35">
      <c r="B35" s="23" t="n">
        <v>29</v>
      </c>
      <c r="C35" s="9" t="n"/>
      <c r="D35" s="16">
        <f>IF(29&lt;='2 · Seu Número'!$C$8,$D$4+SUM($C$7:C35),"")</f>
        <v/>
      </c>
      <c r="E35" s="16">
        <f>IF(29&lt;='2 · Seu Número'!$C$8,$D$4+'2 · Seu Número'!$C$14*B35,"")</f>
        <v/>
      </c>
      <c r="F35" s="16">
        <f>IF(29&lt;='2 · Seu Número'!$C$8,D35-E35,"")</f>
        <v/>
      </c>
      <c r="G35" s="16">
        <f>IF(29&lt;='2 · Seu Número'!$C$8,MAX($F$4-D35,0),"")</f>
        <v/>
      </c>
      <c r="H35" s="24">
        <f>IF(29&lt;='2 · Seu Número'!$C$8,IF(C35="","",IF(D35&gt;=$F$4,"Reserva completa!",IF(F35&gt;=0,"No ritmo","Abaixo da meta"))),"")</f>
        <v/>
      </c>
    </row>
    <row r="36">
      <c r="B36" s="23" t="n">
        <v>30</v>
      </c>
      <c r="C36" s="9" t="n"/>
      <c r="D36" s="16">
        <f>IF(30&lt;='2 · Seu Número'!$C$8,$D$4+SUM($C$7:C36),"")</f>
        <v/>
      </c>
      <c r="E36" s="16">
        <f>IF(30&lt;='2 · Seu Número'!$C$8,$D$4+'2 · Seu Número'!$C$14*B36,"")</f>
        <v/>
      </c>
      <c r="F36" s="16">
        <f>IF(30&lt;='2 · Seu Número'!$C$8,D36-E36,"")</f>
        <v/>
      </c>
      <c r="G36" s="16">
        <f>IF(30&lt;='2 · Seu Número'!$C$8,MAX($F$4-D36,0),"")</f>
        <v/>
      </c>
      <c r="H36" s="24">
        <f>IF(30&lt;='2 · Seu Número'!$C$8,IF(C36="","",IF(D36&gt;=$F$4,"Reserva completa!",IF(F36&gt;=0,"No ritmo","Abaixo da meta"))),"")</f>
        <v/>
      </c>
    </row>
    <row r="37">
      <c r="B37" s="23" t="n">
        <v>31</v>
      </c>
      <c r="C37" s="9" t="n"/>
      <c r="D37" s="16">
        <f>IF(31&lt;='2 · Seu Número'!$C$8,$D$4+SUM($C$7:C37),"")</f>
        <v/>
      </c>
      <c r="E37" s="16">
        <f>IF(31&lt;='2 · Seu Número'!$C$8,$D$4+'2 · Seu Número'!$C$14*B37,"")</f>
        <v/>
      </c>
      <c r="F37" s="16">
        <f>IF(31&lt;='2 · Seu Número'!$C$8,D37-E37,"")</f>
        <v/>
      </c>
      <c r="G37" s="16">
        <f>IF(31&lt;='2 · Seu Número'!$C$8,MAX($F$4-D37,0),"")</f>
        <v/>
      </c>
      <c r="H37" s="24">
        <f>IF(31&lt;='2 · Seu Número'!$C$8,IF(C37="","",IF(D37&gt;=$F$4,"Reserva completa!",IF(F37&gt;=0,"No ritmo","Abaixo da meta"))),"")</f>
        <v/>
      </c>
    </row>
    <row r="38">
      <c r="B38" s="23" t="n">
        <v>32</v>
      </c>
      <c r="C38" s="9" t="n"/>
      <c r="D38" s="16">
        <f>IF(32&lt;='2 · Seu Número'!$C$8,$D$4+SUM($C$7:C38),"")</f>
        <v/>
      </c>
      <c r="E38" s="16">
        <f>IF(32&lt;='2 · Seu Número'!$C$8,$D$4+'2 · Seu Número'!$C$14*B38,"")</f>
        <v/>
      </c>
      <c r="F38" s="16">
        <f>IF(32&lt;='2 · Seu Número'!$C$8,D38-E38,"")</f>
        <v/>
      </c>
      <c r="G38" s="16">
        <f>IF(32&lt;='2 · Seu Número'!$C$8,MAX($F$4-D38,0),"")</f>
        <v/>
      </c>
      <c r="H38" s="24">
        <f>IF(32&lt;='2 · Seu Número'!$C$8,IF(C38="","",IF(D38&gt;=$F$4,"Reserva completa!",IF(F38&gt;=0,"No ritmo","Abaixo da meta"))),"")</f>
        <v/>
      </c>
    </row>
    <row r="39">
      <c r="B39" s="23" t="n">
        <v>33</v>
      </c>
      <c r="C39" s="9" t="n"/>
      <c r="D39" s="16">
        <f>IF(33&lt;='2 · Seu Número'!$C$8,$D$4+SUM($C$7:C39),"")</f>
        <v/>
      </c>
      <c r="E39" s="16">
        <f>IF(33&lt;='2 · Seu Número'!$C$8,$D$4+'2 · Seu Número'!$C$14*B39,"")</f>
        <v/>
      </c>
      <c r="F39" s="16">
        <f>IF(33&lt;='2 · Seu Número'!$C$8,D39-E39,"")</f>
        <v/>
      </c>
      <c r="G39" s="16">
        <f>IF(33&lt;='2 · Seu Número'!$C$8,MAX($F$4-D39,0),"")</f>
        <v/>
      </c>
      <c r="H39" s="24">
        <f>IF(33&lt;='2 · Seu Número'!$C$8,IF(C39="","",IF(D39&gt;=$F$4,"Reserva completa!",IF(F39&gt;=0,"No ritmo","Abaixo da meta"))),"")</f>
        <v/>
      </c>
    </row>
    <row r="40">
      <c r="B40" s="23" t="n">
        <v>34</v>
      </c>
      <c r="C40" s="9" t="n"/>
      <c r="D40" s="16">
        <f>IF(34&lt;='2 · Seu Número'!$C$8,$D$4+SUM($C$7:C40),"")</f>
        <v/>
      </c>
      <c r="E40" s="16">
        <f>IF(34&lt;='2 · Seu Número'!$C$8,$D$4+'2 · Seu Número'!$C$14*B40,"")</f>
        <v/>
      </c>
      <c r="F40" s="16">
        <f>IF(34&lt;='2 · Seu Número'!$C$8,D40-E40,"")</f>
        <v/>
      </c>
      <c r="G40" s="16">
        <f>IF(34&lt;='2 · Seu Número'!$C$8,MAX($F$4-D40,0),"")</f>
        <v/>
      </c>
      <c r="H40" s="24">
        <f>IF(34&lt;='2 · Seu Número'!$C$8,IF(C40="","",IF(D40&gt;=$F$4,"Reserva completa!",IF(F40&gt;=0,"No ritmo","Abaixo da meta"))),"")</f>
        <v/>
      </c>
    </row>
    <row r="41">
      <c r="B41" s="23" t="n">
        <v>35</v>
      </c>
      <c r="C41" s="9" t="n"/>
      <c r="D41" s="16">
        <f>IF(35&lt;='2 · Seu Número'!$C$8,$D$4+SUM($C$7:C41),"")</f>
        <v/>
      </c>
      <c r="E41" s="16">
        <f>IF(35&lt;='2 · Seu Número'!$C$8,$D$4+'2 · Seu Número'!$C$14*B41,"")</f>
        <v/>
      </c>
      <c r="F41" s="16">
        <f>IF(35&lt;='2 · Seu Número'!$C$8,D41-E41,"")</f>
        <v/>
      </c>
      <c r="G41" s="16">
        <f>IF(35&lt;='2 · Seu Número'!$C$8,MAX($F$4-D41,0),"")</f>
        <v/>
      </c>
      <c r="H41" s="24">
        <f>IF(35&lt;='2 · Seu Número'!$C$8,IF(C41="","",IF(D41&gt;=$F$4,"Reserva completa!",IF(F41&gt;=0,"No ritmo","Abaixo da meta"))),"")</f>
        <v/>
      </c>
    </row>
    <row r="42">
      <c r="B42" s="23" t="n">
        <v>36</v>
      </c>
      <c r="C42" s="9" t="n"/>
      <c r="D42" s="16">
        <f>IF(36&lt;='2 · Seu Número'!$C$8,$D$4+SUM($C$7:C42),"")</f>
        <v/>
      </c>
      <c r="E42" s="16">
        <f>IF(36&lt;='2 · Seu Número'!$C$8,$D$4+'2 · Seu Número'!$C$14*B42,"")</f>
        <v/>
      </c>
      <c r="F42" s="16">
        <f>IF(36&lt;='2 · Seu Número'!$C$8,D42-E42,"")</f>
        <v/>
      </c>
      <c r="G42" s="16">
        <f>IF(36&lt;='2 · Seu Número'!$C$8,MAX($F$4-D42,0),"")</f>
        <v/>
      </c>
      <c r="H42" s="24">
        <f>IF(36&lt;='2 · Seu Número'!$C$8,IF(C42="","",IF(D42&gt;=$F$4,"Reserva completa!",IF(F42&gt;=0,"No ritmo","Abaixo da meta"))),"")</f>
        <v/>
      </c>
    </row>
    <row r="43">
      <c r="B43" s="23" t="n">
        <v>37</v>
      </c>
      <c r="C43" s="9" t="n"/>
      <c r="D43" s="16">
        <f>IF(37&lt;='2 · Seu Número'!$C$8,$D$4+SUM($C$7:C43),"")</f>
        <v/>
      </c>
      <c r="E43" s="16">
        <f>IF(37&lt;='2 · Seu Número'!$C$8,$D$4+'2 · Seu Número'!$C$14*B43,"")</f>
        <v/>
      </c>
      <c r="F43" s="16">
        <f>IF(37&lt;='2 · Seu Número'!$C$8,D43-E43,"")</f>
        <v/>
      </c>
      <c r="G43" s="16">
        <f>IF(37&lt;='2 · Seu Número'!$C$8,MAX($F$4-D43,0),"")</f>
        <v/>
      </c>
      <c r="H43" s="24">
        <f>IF(37&lt;='2 · Seu Número'!$C$8,IF(C43="","",IF(D43&gt;=$F$4,"Reserva completa!",IF(F43&gt;=0,"No ritmo","Abaixo da meta"))),"")</f>
        <v/>
      </c>
    </row>
    <row r="44">
      <c r="B44" s="23" t="n">
        <v>38</v>
      </c>
      <c r="C44" s="9" t="n"/>
      <c r="D44" s="16">
        <f>IF(38&lt;='2 · Seu Número'!$C$8,$D$4+SUM($C$7:C44),"")</f>
        <v/>
      </c>
      <c r="E44" s="16">
        <f>IF(38&lt;='2 · Seu Número'!$C$8,$D$4+'2 · Seu Número'!$C$14*B44,"")</f>
        <v/>
      </c>
      <c r="F44" s="16">
        <f>IF(38&lt;='2 · Seu Número'!$C$8,D44-E44,"")</f>
        <v/>
      </c>
      <c r="G44" s="16">
        <f>IF(38&lt;='2 · Seu Número'!$C$8,MAX($F$4-D44,0),"")</f>
        <v/>
      </c>
      <c r="H44" s="24">
        <f>IF(38&lt;='2 · Seu Número'!$C$8,IF(C44="","",IF(D44&gt;=$F$4,"Reserva completa!",IF(F44&gt;=0,"No ritmo","Abaixo da meta"))),"")</f>
        <v/>
      </c>
    </row>
    <row r="45">
      <c r="B45" s="23" t="n">
        <v>39</v>
      </c>
      <c r="C45" s="9" t="n"/>
      <c r="D45" s="16">
        <f>IF(39&lt;='2 · Seu Número'!$C$8,$D$4+SUM($C$7:C45),"")</f>
        <v/>
      </c>
      <c r="E45" s="16">
        <f>IF(39&lt;='2 · Seu Número'!$C$8,$D$4+'2 · Seu Número'!$C$14*B45,"")</f>
        <v/>
      </c>
      <c r="F45" s="16">
        <f>IF(39&lt;='2 · Seu Número'!$C$8,D45-E45,"")</f>
        <v/>
      </c>
      <c r="G45" s="16">
        <f>IF(39&lt;='2 · Seu Número'!$C$8,MAX($F$4-D45,0),"")</f>
        <v/>
      </c>
      <c r="H45" s="24">
        <f>IF(39&lt;='2 · Seu Número'!$C$8,IF(C45="","",IF(D45&gt;=$F$4,"Reserva completa!",IF(F45&gt;=0,"No ritmo","Abaixo da meta"))),"")</f>
        <v/>
      </c>
    </row>
    <row r="46">
      <c r="B46" s="23" t="n">
        <v>40</v>
      </c>
      <c r="C46" s="9" t="n"/>
      <c r="D46" s="16">
        <f>IF(40&lt;='2 · Seu Número'!$C$8,$D$4+SUM($C$7:C46),"")</f>
        <v/>
      </c>
      <c r="E46" s="16">
        <f>IF(40&lt;='2 · Seu Número'!$C$8,$D$4+'2 · Seu Número'!$C$14*B46,"")</f>
        <v/>
      </c>
      <c r="F46" s="16">
        <f>IF(40&lt;='2 · Seu Número'!$C$8,D46-E46,"")</f>
        <v/>
      </c>
      <c r="G46" s="16">
        <f>IF(40&lt;='2 · Seu Número'!$C$8,MAX($F$4-D46,0),"")</f>
        <v/>
      </c>
      <c r="H46" s="24">
        <f>IF(40&lt;='2 · Seu Número'!$C$8,IF(C46="","",IF(D46&gt;=$F$4,"Reserva completa!",IF(F46&gt;=0,"No ritmo","Abaixo da meta"))),"")</f>
        <v/>
      </c>
    </row>
    <row r="47">
      <c r="B47" s="23" t="n">
        <v>41</v>
      </c>
      <c r="C47" s="9" t="n"/>
      <c r="D47" s="16">
        <f>IF(41&lt;='2 · Seu Número'!$C$8,$D$4+SUM($C$7:C47),"")</f>
        <v/>
      </c>
      <c r="E47" s="16">
        <f>IF(41&lt;='2 · Seu Número'!$C$8,$D$4+'2 · Seu Número'!$C$14*B47,"")</f>
        <v/>
      </c>
      <c r="F47" s="16">
        <f>IF(41&lt;='2 · Seu Número'!$C$8,D47-E47,"")</f>
        <v/>
      </c>
      <c r="G47" s="16">
        <f>IF(41&lt;='2 · Seu Número'!$C$8,MAX($F$4-D47,0),"")</f>
        <v/>
      </c>
      <c r="H47" s="24">
        <f>IF(41&lt;='2 · Seu Número'!$C$8,IF(C47="","",IF(D47&gt;=$F$4,"Reserva completa!",IF(F47&gt;=0,"No ritmo","Abaixo da meta"))),"")</f>
        <v/>
      </c>
    </row>
    <row r="48">
      <c r="B48" s="23" t="n">
        <v>42</v>
      </c>
      <c r="C48" s="9" t="n"/>
      <c r="D48" s="16">
        <f>IF(42&lt;='2 · Seu Número'!$C$8,$D$4+SUM($C$7:C48),"")</f>
        <v/>
      </c>
      <c r="E48" s="16">
        <f>IF(42&lt;='2 · Seu Número'!$C$8,$D$4+'2 · Seu Número'!$C$14*B48,"")</f>
        <v/>
      </c>
      <c r="F48" s="16">
        <f>IF(42&lt;='2 · Seu Número'!$C$8,D48-E48,"")</f>
        <v/>
      </c>
      <c r="G48" s="16">
        <f>IF(42&lt;='2 · Seu Número'!$C$8,MAX($F$4-D48,0),"")</f>
        <v/>
      </c>
      <c r="H48" s="24">
        <f>IF(42&lt;='2 · Seu Número'!$C$8,IF(C48="","",IF(D48&gt;=$F$4,"Reserva completa!",IF(F48&gt;=0,"No ritmo","Abaixo da meta"))),"")</f>
        <v/>
      </c>
    </row>
    <row r="49">
      <c r="B49" s="23" t="n">
        <v>43</v>
      </c>
      <c r="C49" s="9" t="n"/>
      <c r="D49" s="16">
        <f>IF(43&lt;='2 · Seu Número'!$C$8,$D$4+SUM($C$7:C49),"")</f>
        <v/>
      </c>
      <c r="E49" s="16">
        <f>IF(43&lt;='2 · Seu Número'!$C$8,$D$4+'2 · Seu Número'!$C$14*B49,"")</f>
        <v/>
      </c>
      <c r="F49" s="16">
        <f>IF(43&lt;='2 · Seu Número'!$C$8,D49-E49,"")</f>
        <v/>
      </c>
      <c r="G49" s="16">
        <f>IF(43&lt;='2 · Seu Número'!$C$8,MAX($F$4-D49,0),"")</f>
        <v/>
      </c>
      <c r="H49" s="24">
        <f>IF(43&lt;='2 · Seu Número'!$C$8,IF(C49="","",IF(D49&gt;=$F$4,"Reserva completa!",IF(F49&gt;=0,"No ritmo","Abaixo da meta"))),"")</f>
        <v/>
      </c>
    </row>
    <row r="50">
      <c r="B50" s="23" t="n">
        <v>44</v>
      </c>
      <c r="C50" s="9" t="n"/>
      <c r="D50" s="16">
        <f>IF(44&lt;='2 · Seu Número'!$C$8,$D$4+SUM($C$7:C50),"")</f>
        <v/>
      </c>
      <c r="E50" s="16">
        <f>IF(44&lt;='2 · Seu Número'!$C$8,$D$4+'2 · Seu Número'!$C$14*B50,"")</f>
        <v/>
      </c>
      <c r="F50" s="16">
        <f>IF(44&lt;='2 · Seu Número'!$C$8,D50-E50,"")</f>
        <v/>
      </c>
      <c r="G50" s="16">
        <f>IF(44&lt;='2 · Seu Número'!$C$8,MAX($F$4-D50,0),"")</f>
        <v/>
      </c>
      <c r="H50" s="24">
        <f>IF(44&lt;='2 · Seu Número'!$C$8,IF(C50="","",IF(D50&gt;=$F$4,"Reserva completa!",IF(F50&gt;=0,"No ritmo","Abaixo da meta"))),"")</f>
        <v/>
      </c>
    </row>
    <row r="51">
      <c r="B51" s="23" t="n">
        <v>45</v>
      </c>
      <c r="C51" s="9" t="n"/>
      <c r="D51" s="16">
        <f>IF(45&lt;='2 · Seu Número'!$C$8,$D$4+SUM($C$7:C51),"")</f>
        <v/>
      </c>
      <c r="E51" s="16">
        <f>IF(45&lt;='2 · Seu Número'!$C$8,$D$4+'2 · Seu Número'!$C$14*B51,"")</f>
        <v/>
      </c>
      <c r="F51" s="16">
        <f>IF(45&lt;='2 · Seu Número'!$C$8,D51-E51,"")</f>
        <v/>
      </c>
      <c r="G51" s="16">
        <f>IF(45&lt;='2 · Seu Número'!$C$8,MAX($F$4-D51,0),"")</f>
        <v/>
      </c>
      <c r="H51" s="24">
        <f>IF(45&lt;='2 · Seu Número'!$C$8,IF(C51="","",IF(D51&gt;=$F$4,"Reserva completa!",IF(F51&gt;=0,"No ritmo","Abaixo da meta"))),"")</f>
        <v/>
      </c>
    </row>
    <row r="52">
      <c r="B52" s="23" t="n">
        <v>46</v>
      </c>
      <c r="C52" s="9" t="n"/>
      <c r="D52" s="16">
        <f>IF(46&lt;='2 · Seu Número'!$C$8,$D$4+SUM($C$7:C52),"")</f>
        <v/>
      </c>
      <c r="E52" s="16">
        <f>IF(46&lt;='2 · Seu Número'!$C$8,$D$4+'2 · Seu Número'!$C$14*B52,"")</f>
        <v/>
      </c>
      <c r="F52" s="16">
        <f>IF(46&lt;='2 · Seu Número'!$C$8,D52-E52,"")</f>
        <v/>
      </c>
      <c r="G52" s="16">
        <f>IF(46&lt;='2 · Seu Número'!$C$8,MAX($F$4-D52,0),"")</f>
        <v/>
      </c>
      <c r="H52" s="24">
        <f>IF(46&lt;='2 · Seu Número'!$C$8,IF(C52="","",IF(D52&gt;=$F$4,"Reserva completa!",IF(F52&gt;=0,"No ritmo","Abaixo da meta"))),"")</f>
        <v/>
      </c>
    </row>
    <row r="53">
      <c r="B53" s="23" t="n">
        <v>47</v>
      </c>
      <c r="C53" s="9" t="n"/>
      <c r="D53" s="16">
        <f>IF(47&lt;='2 · Seu Número'!$C$8,$D$4+SUM($C$7:C53),"")</f>
        <v/>
      </c>
      <c r="E53" s="16">
        <f>IF(47&lt;='2 · Seu Número'!$C$8,$D$4+'2 · Seu Número'!$C$14*B53,"")</f>
        <v/>
      </c>
      <c r="F53" s="16">
        <f>IF(47&lt;='2 · Seu Número'!$C$8,D53-E53,"")</f>
        <v/>
      </c>
      <c r="G53" s="16">
        <f>IF(47&lt;='2 · Seu Número'!$C$8,MAX($F$4-D53,0),"")</f>
        <v/>
      </c>
      <c r="H53" s="24">
        <f>IF(47&lt;='2 · Seu Número'!$C$8,IF(C53="","",IF(D53&gt;=$F$4,"Reserva completa!",IF(F53&gt;=0,"No ritmo","Abaixo da meta"))),"")</f>
        <v/>
      </c>
    </row>
    <row r="54">
      <c r="B54" s="23" t="n">
        <v>48</v>
      </c>
      <c r="C54" s="9" t="n"/>
      <c r="D54" s="16">
        <f>IF(48&lt;='2 · Seu Número'!$C$8,$D$4+SUM($C$7:C54),"")</f>
        <v/>
      </c>
      <c r="E54" s="16">
        <f>IF(48&lt;='2 · Seu Número'!$C$8,$D$4+'2 · Seu Número'!$C$14*B54,"")</f>
        <v/>
      </c>
      <c r="F54" s="16">
        <f>IF(48&lt;='2 · Seu Número'!$C$8,D54-E54,"")</f>
        <v/>
      </c>
      <c r="G54" s="16">
        <f>IF(48&lt;='2 · Seu Número'!$C$8,MAX($F$4-D54,0),"")</f>
        <v/>
      </c>
      <c r="H54" s="24">
        <f>IF(48&lt;='2 · Seu Número'!$C$8,IF(C54="","",IF(D54&gt;=$F$4,"Reserva completa!",IF(F54&gt;=0,"No ritmo","Abaixo da meta"))),"")</f>
        <v/>
      </c>
    </row>
    <row r="55">
      <c r="B55" s="23" t="n">
        <v>49</v>
      </c>
      <c r="C55" s="9" t="n"/>
      <c r="D55" s="16">
        <f>IF(49&lt;='2 · Seu Número'!$C$8,$D$4+SUM($C$7:C55),"")</f>
        <v/>
      </c>
      <c r="E55" s="16">
        <f>IF(49&lt;='2 · Seu Número'!$C$8,$D$4+'2 · Seu Número'!$C$14*B55,"")</f>
        <v/>
      </c>
      <c r="F55" s="16">
        <f>IF(49&lt;='2 · Seu Número'!$C$8,D55-E55,"")</f>
        <v/>
      </c>
      <c r="G55" s="16">
        <f>IF(49&lt;='2 · Seu Número'!$C$8,MAX($F$4-D55,0),"")</f>
        <v/>
      </c>
      <c r="H55" s="24">
        <f>IF(49&lt;='2 · Seu Número'!$C$8,IF(C55="","",IF(D55&gt;=$F$4,"Reserva completa!",IF(F55&gt;=0,"No ritmo","Abaixo da meta"))),"")</f>
        <v/>
      </c>
    </row>
    <row r="56">
      <c r="B56" s="23" t="n">
        <v>50</v>
      </c>
      <c r="C56" s="9" t="n"/>
      <c r="D56" s="16">
        <f>IF(50&lt;='2 · Seu Número'!$C$8,$D$4+SUM($C$7:C56),"")</f>
        <v/>
      </c>
      <c r="E56" s="16">
        <f>IF(50&lt;='2 · Seu Número'!$C$8,$D$4+'2 · Seu Número'!$C$14*B56,"")</f>
        <v/>
      </c>
      <c r="F56" s="16">
        <f>IF(50&lt;='2 · Seu Número'!$C$8,D56-E56,"")</f>
        <v/>
      </c>
      <c r="G56" s="16">
        <f>IF(50&lt;='2 · Seu Número'!$C$8,MAX($F$4-D56,0),"")</f>
        <v/>
      </c>
      <c r="H56" s="24">
        <f>IF(50&lt;='2 · Seu Número'!$C$8,IF(C56="","",IF(D56&gt;=$F$4,"Reserva completa!",IF(F56&gt;=0,"No ritmo","Abaixo da meta"))),"")</f>
        <v/>
      </c>
    </row>
    <row r="57">
      <c r="B57" s="23" t="n">
        <v>51</v>
      </c>
      <c r="C57" s="9" t="n"/>
      <c r="D57" s="16">
        <f>IF(51&lt;='2 · Seu Número'!$C$8,$D$4+SUM($C$7:C57),"")</f>
        <v/>
      </c>
      <c r="E57" s="16">
        <f>IF(51&lt;='2 · Seu Número'!$C$8,$D$4+'2 · Seu Número'!$C$14*B57,"")</f>
        <v/>
      </c>
      <c r="F57" s="16">
        <f>IF(51&lt;='2 · Seu Número'!$C$8,D57-E57,"")</f>
        <v/>
      </c>
      <c r="G57" s="16">
        <f>IF(51&lt;='2 · Seu Número'!$C$8,MAX($F$4-D57,0),"")</f>
        <v/>
      </c>
      <c r="H57" s="24">
        <f>IF(51&lt;='2 · Seu Número'!$C$8,IF(C57="","",IF(D57&gt;=$F$4,"Reserva completa!",IF(F57&gt;=0,"No ritmo","Abaixo da meta"))),"")</f>
        <v/>
      </c>
    </row>
    <row r="58">
      <c r="B58" s="23" t="n">
        <v>52</v>
      </c>
      <c r="C58" s="9" t="n"/>
      <c r="D58" s="16">
        <f>IF(52&lt;='2 · Seu Número'!$C$8,$D$4+SUM($C$7:C58),"")</f>
        <v/>
      </c>
      <c r="E58" s="16">
        <f>IF(52&lt;='2 · Seu Número'!$C$8,$D$4+'2 · Seu Número'!$C$14*B58,"")</f>
        <v/>
      </c>
      <c r="F58" s="16">
        <f>IF(52&lt;='2 · Seu Número'!$C$8,D58-E58,"")</f>
        <v/>
      </c>
      <c r="G58" s="16">
        <f>IF(52&lt;='2 · Seu Número'!$C$8,MAX($F$4-D58,0),"")</f>
        <v/>
      </c>
      <c r="H58" s="24">
        <f>IF(52&lt;='2 · Seu Número'!$C$8,IF(C58="","",IF(D58&gt;=$F$4,"Reserva completa!",IF(F58&gt;=0,"No ritmo","Abaixo da meta"))),"")</f>
        <v/>
      </c>
    </row>
    <row r="59">
      <c r="B59" s="23" t="n">
        <v>53</v>
      </c>
      <c r="C59" s="9" t="n"/>
      <c r="D59" s="16">
        <f>IF(53&lt;='2 · Seu Número'!$C$8,$D$4+SUM($C$7:C59),"")</f>
        <v/>
      </c>
      <c r="E59" s="16">
        <f>IF(53&lt;='2 · Seu Número'!$C$8,$D$4+'2 · Seu Número'!$C$14*B59,"")</f>
        <v/>
      </c>
      <c r="F59" s="16">
        <f>IF(53&lt;='2 · Seu Número'!$C$8,D59-E59,"")</f>
        <v/>
      </c>
      <c r="G59" s="16">
        <f>IF(53&lt;='2 · Seu Número'!$C$8,MAX($F$4-D59,0),"")</f>
        <v/>
      </c>
      <c r="H59" s="24">
        <f>IF(53&lt;='2 · Seu Número'!$C$8,IF(C59="","",IF(D59&gt;=$F$4,"Reserva completa!",IF(F59&gt;=0,"No ritmo","Abaixo da meta"))),"")</f>
        <v/>
      </c>
    </row>
    <row r="60">
      <c r="B60" s="23" t="n">
        <v>54</v>
      </c>
      <c r="C60" s="9" t="n"/>
      <c r="D60" s="16">
        <f>IF(54&lt;='2 · Seu Número'!$C$8,$D$4+SUM($C$7:C60),"")</f>
        <v/>
      </c>
      <c r="E60" s="16">
        <f>IF(54&lt;='2 · Seu Número'!$C$8,$D$4+'2 · Seu Número'!$C$14*B60,"")</f>
        <v/>
      </c>
      <c r="F60" s="16">
        <f>IF(54&lt;='2 · Seu Número'!$C$8,D60-E60,"")</f>
        <v/>
      </c>
      <c r="G60" s="16">
        <f>IF(54&lt;='2 · Seu Número'!$C$8,MAX($F$4-D60,0),"")</f>
        <v/>
      </c>
      <c r="H60" s="24">
        <f>IF(54&lt;='2 · Seu Número'!$C$8,IF(C60="","",IF(D60&gt;=$F$4,"Reserva completa!",IF(F60&gt;=0,"No ritmo","Abaixo da meta"))),"")</f>
        <v/>
      </c>
    </row>
    <row r="61">
      <c r="B61" s="23" t="n">
        <v>55</v>
      </c>
      <c r="C61" s="9" t="n"/>
      <c r="D61" s="16">
        <f>IF(55&lt;='2 · Seu Número'!$C$8,$D$4+SUM($C$7:C61),"")</f>
        <v/>
      </c>
      <c r="E61" s="16">
        <f>IF(55&lt;='2 · Seu Número'!$C$8,$D$4+'2 · Seu Número'!$C$14*B61,"")</f>
        <v/>
      </c>
      <c r="F61" s="16">
        <f>IF(55&lt;='2 · Seu Número'!$C$8,D61-E61,"")</f>
        <v/>
      </c>
      <c r="G61" s="16">
        <f>IF(55&lt;='2 · Seu Número'!$C$8,MAX($F$4-D61,0),"")</f>
        <v/>
      </c>
      <c r="H61" s="24">
        <f>IF(55&lt;='2 · Seu Número'!$C$8,IF(C61="","",IF(D61&gt;=$F$4,"Reserva completa!",IF(F61&gt;=0,"No ritmo","Abaixo da meta"))),"")</f>
        <v/>
      </c>
    </row>
    <row r="62">
      <c r="B62" s="23" t="n">
        <v>56</v>
      </c>
      <c r="C62" s="9" t="n"/>
      <c r="D62" s="16">
        <f>IF(56&lt;='2 · Seu Número'!$C$8,$D$4+SUM($C$7:C62),"")</f>
        <v/>
      </c>
      <c r="E62" s="16">
        <f>IF(56&lt;='2 · Seu Número'!$C$8,$D$4+'2 · Seu Número'!$C$14*B62,"")</f>
        <v/>
      </c>
      <c r="F62" s="16">
        <f>IF(56&lt;='2 · Seu Número'!$C$8,D62-E62,"")</f>
        <v/>
      </c>
      <c r="G62" s="16">
        <f>IF(56&lt;='2 · Seu Número'!$C$8,MAX($F$4-D62,0),"")</f>
        <v/>
      </c>
      <c r="H62" s="24">
        <f>IF(56&lt;='2 · Seu Número'!$C$8,IF(C62="","",IF(D62&gt;=$F$4,"Reserva completa!",IF(F62&gt;=0,"No ritmo","Abaixo da meta"))),"")</f>
        <v/>
      </c>
    </row>
    <row r="63">
      <c r="B63" s="23" t="n">
        <v>57</v>
      </c>
      <c r="C63" s="9" t="n"/>
      <c r="D63" s="16">
        <f>IF(57&lt;='2 · Seu Número'!$C$8,$D$4+SUM($C$7:C63),"")</f>
        <v/>
      </c>
      <c r="E63" s="16">
        <f>IF(57&lt;='2 · Seu Número'!$C$8,$D$4+'2 · Seu Número'!$C$14*B63,"")</f>
        <v/>
      </c>
      <c r="F63" s="16">
        <f>IF(57&lt;='2 · Seu Número'!$C$8,D63-E63,"")</f>
        <v/>
      </c>
      <c r="G63" s="16">
        <f>IF(57&lt;='2 · Seu Número'!$C$8,MAX($F$4-D63,0),"")</f>
        <v/>
      </c>
      <c r="H63" s="24">
        <f>IF(57&lt;='2 · Seu Número'!$C$8,IF(C63="","",IF(D63&gt;=$F$4,"Reserva completa!",IF(F63&gt;=0,"No ritmo","Abaixo da meta"))),"")</f>
        <v/>
      </c>
    </row>
    <row r="64">
      <c r="B64" s="23" t="n">
        <v>58</v>
      </c>
      <c r="C64" s="9" t="n"/>
      <c r="D64" s="16">
        <f>IF(58&lt;='2 · Seu Número'!$C$8,$D$4+SUM($C$7:C64),"")</f>
        <v/>
      </c>
      <c r="E64" s="16">
        <f>IF(58&lt;='2 · Seu Número'!$C$8,$D$4+'2 · Seu Número'!$C$14*B64,"")</f>
        <v/>
      </c>
      <c r="F64" s="16">
        <f>IF(58&lt;='2 · Seu Número'!$C$8,D64-E64,"")</f>
        <v/>
      </c>
      <c r="G64" s="16">
        <f>IF(58&lt;='2 · Seu Número'!$C$8,MAX($F$4-D64,0),"")</f>
        <v/>
      </c>
      <c r="H64" s="24">
        <f>IF(58&lt;='2 · Seu Número'!$C$8,IF(C64="","",IF(D64&gt;=$F$4,"Reserva completa!",IF(F64&gt;=0,"No ritmo","Abaixo da meta"))),"")</f>
        <v/>
      </c>
    </row>
    <row r="65">
      <c r="B65" s="23" t="n">
        <v>59</v>
      </c>
      <c r="C65" s="9" t="n"/>
      <c r="D65" s="16">
        <f>IF(59&lt;='2 · Seu Número'!$C$8,$D$4+SUM($C$7:C65),"")</f>
        <v/>
      </c>
      <c r="E65" s="16">
        <f>IF(59&lt;='2 · Seu Número'!$C$8,$D$4+'2 · Seu Número'!$C$14*B65,"")</f>
        <v/>
      </c>
      <c r="F65" s="16">
        <f>IF(59&lt;='2 · Seu Número'!$C$8,D65-E65,"")</f>
        <v/>
      </c>
      <c r="G65" s="16">
        <f>IF(59&lt;='2 · Seu Número'!$C$8,MAX($F$4-D65,0),"")</f>
        <v/>
      </c>
      <c r="H65" s="24">
        <f>IF(59&lt;='2 · Seu Número'!$C$8,IF(C65="","",IF(D65&gt;=$F$4,"Reserva completa!",IF(F65&gt;=0,"No ritmo","Abaixo da meta"))),"")</f>
        <v/>
      </c>
    </row>
    <row r="66">
      <c r="B66" s="23" t="n">
        <v>60</v>
      </c>
      <c r="C66" s="9" t="n"/>
      <c r="D66" s="16">
        <f>IF(60&lt;='2 · Seu Número'!$C$8,$D$4+SUM($C$7:C66),"")</f>
        <v/>
      </c>
      <c r="E66" s="16">
        <f>IF(60&lt;='2 · Seu Número'!$C$8,$D$4+'2 · Seu Número'!$C$14*B66,"")</f>
        <v/>
      </c>
      <c r="F66" s="16">
        <f>IF(60&lt;='2 · Seu Número'!$C$8,D66-E66,"")</f>
        <v/>
      </c>
      <c r="G66" s="16">
        <f>IF(60&lt;='2 · Seu Número'!$C$8,MAX($F$4-D66,0),"")</f>
        <v/>
      </c>
      <c r="H66" s="24">
        <f>IF(60&lt;='2 · Seu Número'!$C$8,IF(C66="","",IF(D66&gt;=$F$4,"Reserva completa!",IF(F66&gt;=0,"No ritmo","Abaixo da meta"))),"")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B4:C4"/>
  </mergeCells>
  <conditionalFormatting sqref="H7:H66">
    <cfRule type="cellIs" priority="1" operator="equal" dxfId="0">
      <formula>"No ritmo"</formula>
    </cfRule>
    <cfRule type="cellIs" priority="2" operator="equal" dxfId="1">
      <formula>"Abaixo da meta"</formula>
    </cfRule>
    <cfRule type="cellIs" priority="3" operator="equal" dxfId="2">
      <formula>"Reserva completa!"</formula>
    </cfRule>
  </conditionalFormatting>
  <conditionalFormatting sqref="B7:C66">
    <cfRule type="expression" priority="4" dxfId="3">
      <formula>$B7&gt;'2 · Seu Número'!$C$8</formula>
    </cfRule>
  </conditionalFormatting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1E4A3D"/>
    <outlinePr summaryBelow="1" summaryRight="1"/>
    <pageSetUpPr fitToPage="1"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20" customWidth="1" min="4" max="4"/>
    <col width="20" customWidth="1" min="5" max="5"/>
  </cols>
  <sheetData>
    <row r="1" ht="12" customHeight="1"/>
    <row r="2" ht="32" customHeight="1">
      <c r="B2" s="1" t="inlineStr">
        <is>
          <t>Simulador de prazo</t>
        </is>
      </c>
    </row>
    <row r="3">
      <c r="B3" s="2" t="inlineStr">
        <is>
          <t>Quanto guardar por mês para chegar ao seu número em cada prazo. Usa os dados da aba 2.</t>
        </is>
      </c>
    </row>
    <row r="5" ht="24" customHeight="1">
      <c r="B5" s="25" t="inlineStr">
        <is>
          <t>Prazo (meses)</t>
        </is>
      </c>
      <c r="C5" s="25" t="inlineStr">
        <is>
          <t>Guardar por mês</t>
        </is>
      </c>
      <c r="D5" s="25" t="inlineStr">
        <is>
          <t>Por semana (aprox.)</t>
        </is>
      </c>
      <c r="E5" s="25" t="inlineStr">
        <is>
          <t>Por dia (aprox.)</t>
        </is>
      </c>
    </row>
    <row r="6" ht="22" customHeight="1">
      <c r="B6" s="26" t="n">
        <v>6</v>
      </c>
      <c r="C6" s="16">
        <f>'2 · Seu Número'!$C$13/B6</f>
        <v/>
      </c>
      <c r="D6" s="16">
        <f>C6*12/52</f>
        <v/>
      </c>
      <c r="E6" s="16">
        <f>C6*12/365</f>
        <v/>
      </c>
    </row>
    <row r="7" ht="22" customHeight="1">
      <c r="B7" s="26" t="n">
        <v>9</v>
      </c>
      <c r="C7" s="16">
        <f>'2 · Seu Número'!$C$13/B7</f>
        <v/>
      </c>
      <c r="D7" s="16">
        <f>C7*12/52</f>
        <v/>
      </c>
      <c r="E7" s="16">
        <f>C7*12/365</f>
        <v/>
      </c>
    </row>
    <row r="8" ht="22" customHeight="1">
      <c r="B8" s="26" t="n">
        <v>12</v>
      </c>
      <c r="C8" s="16">
        <f>'2 · Seu Número'!$C$13/B8</f>
        <v/>
      </c>
      <c r="D8" s="16">
        <f>C8*12/52</f>
        <v/>
      </c>
      <c r="E8" s="16">
        <f>C8*12/365</f>
        <v/>
      </c>
    </row>
    <row r="9" ht="22" customHeight="1">
      <c r="B9" s="26" t="n">
        <v>15</v>
      </c>
      <c r="C9" s="16">
        <f>'2 · Seu Número'!$C$13/B9</f>
        <v/>
      </c>
      <c r="D9" s="16">
        <f>C9*12/52</f>
        <v/>
      </c>
      <c r="E9" s="16">
        <f>C9*12/365</f>
        <v/>
      </c>
    </row>
    <row r="10" ht="22" customHeight="1">
      <c r="B10" s="26" t="n">
        <v>18</v>
      </c>
      <c r="C10" s="16">
        <f>'2 · Seu Número'!$C$13/B10</f>
        <v/>
      </c>
      <c r="D10" s="16">
        <f>C10*12/52</f>
        <v/>
      </c>
      <c r="E10" s="16">
        <f>C10*12/365</f>
        <v/>
      </c>
    </row>
    <row r="11" ht="22" customHeight="1">
      <c r="B11" s="26" t="n">
        <v>24</v>
      </c>
      <c r="C11" s="16">
        <f>'2 · Seu Número'!$C$13/B11</f>
        <v/>
      </c>
      <c r="D11" s="16">
        <f>C11*12/52</f>
        <v/>
      </c>
      <c r="E11" s="16">
        <f>C11*12/365</f>
        <v/>
      </c>
    </row>
    <row r="12" ht="22" customHeight="1">
      <c r="B12" s="26" t="n">
        <v>30</v>
      </c>
      <c r="C12" s="16">
        <f>'2 · Seu Número'!$C$13/B12</f>
        <v/>
      </c>
      <c r="D12" s="16">
        <f>C12*12/52</f>
        <v/>
      </c>
      <c r="E12" s="16">
        <f>C12*12/365</f>
        <v/>
      </c>
    </row>
    <row r="13" ht="22" customHeight="1">
      <c r="B13" s="26" t="n">
        <v>36</v>
      </c>
      <c r="C13" s="16">
        <f>'2 · Seu Número'!$C$13/B13</f>
        <v/>
      </c>
      <c r="D13" s="16">
        <f>C13*12/52</f>
        <v/>
      </c>
      <c r="E13" s="16">
        <f>C13*12/365</f>
        <v/>
      </c>
    </row>
    <row r="15">
      <c r="B15" s="11" t="inlineStr">
        <is>
          <t>A linha destacada é o prazo que você escolheu na aba 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B6:E13">
    <cfRule type="expression" priority="1" dxfId="4">
      <formula>$B6='2 · Seu Número'!$C$8</formula>
    </cfRule>
  </conditionalFormatting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2026-09-28T16:57:26Z</dcterms:created>
  <dcterms:modified xsi:type="dcterms:W3CDTF">2026-09-28T16:57:26Z</dcterms:modified>
</cp:coreProperties>
</file>